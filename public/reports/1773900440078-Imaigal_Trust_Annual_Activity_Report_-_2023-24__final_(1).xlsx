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90" windowWidth="27315" windowHeight="11265"/>
  </bookViews>
  <sheets>
    <sheet name="programmes" sheetId="1" r:id="rId1"/>
  </sheets>
  <externalReferences>
    <externalReference r:id="rId2"/>
  </externalReferences>
  <definedNames>
    <definedName name="_xlnm.Print_Area" localSheetId="0">programmes!$A$3:$D$50</definedName>
  </definedNames>
  <calcPr calcId="144525"/>
</workbook>
</file>

<file path=xl/calcChain.xml><?xml version="1.0" encoding="utf-8"?>
<calcChain xmlns="http://schemas.openxmlformats.org/spreadsheetml/2006/main">
  <c r="D50" i="1" l="1"/>
  <c r="B50" i="1"/>
  <c r="D49" i="1"/>
  <c r="B49" i="1"/>
  <c r="D48" i="1"/>
  <c r="B48" i="1"/>
  <c r="D47" i="1"/>
  <c r="B47" i="1"/>
  <c r="D46" i="1"/>
  <c r="B46" i="1"/>
  <c r="D45" i="1"/>
  <c r="B45" i="1"/>
  <c r="D44" i="1"/>
  <c r="B44" i="1"/>
  <c r="D43" i="1"/>
  <c r="B43" i="1"/>
  <c r="D42" i="1"/>
  <c r="B42" i="1"/>
  <c r="D41" i="1"/>
  <c r="B41" i="1"/>
  <c r="D40" i="1"/>
  <c r="B40" i="1"/>
  <c r="D39" i="1"/>
  <c r="B39" i="1"/>
  <c r="D38" i="1"/>
  <c r="B38" i="1"/>
  <c r="D37" i="1"/>
  <c r="B37" i="1"/>
  <c r="D36" i="1"/>
  <c r="B36" i="1"/>
  <c r="D35" i="1"/>
  <c r="B35" i="1"/>
  <c r="D34" i="1"/>
  <c r="B34" i="1"/>
  <c r="D33" i="1"/>
  <c r="B33" i="1"/>
  <c r="D32" i="1"/>
  <c r="B32" i="1"/>
  <c r="D31" i="1"/>
  <c r="B31" i="1"/>
  <c r="D30" i="1"/>
  <c r="B30" i="1"/>
  <c r="D29" i="1"/>
  <c r="B29" i="1"/>
  <c r="D28" i="1"/>
  <c r="B28" i="1"/>
  <c r="D27" i="1"/>
  <c r="B27" i="1"/>
  <c r="D26" i="1"/>
  <c r="B26" i="1"/>
  <c r="D25" i="1"/>
  <c r="B25" i="1"/>
  <c r="D24" i="1"/>
  <c r="B24" i="1"/>
  <c r="D23" i="1"/>
  <c r="B23" i="1"/>
  <c r="D22" i="1"/>
  <c r="B22" i="1"/>
  <c r="D21" i="1"/>
  <c r="B21" i="1"/>
  <c r="D20" i="1"/>
  <c r="B20" i="1"/>
  <c r="D19" i="1"/>
  <c r="B19" i="1"/>
  <c r="D18" i="1"/>
  <c r="B18" i="1"/>
  <c r="D17" i="1"/>
  <c r="B17" i="1"/>
  <c r="D16" i="1"/>
  <c r="B16" i="1"/>
  <c r="D15" i="1"/>
  <c r="B15" i="1"/>
  <c r="D14" i="1"/>
  <c r="B14" i="1"/>
  <c r="D13" i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</calcChain>
</file>

<file path=xl/sharedStrings.xml><?xml version="1.0" encoding="utf-8"?>
<sst xmlns="http://schemas.openxmlformats.org/spreadsheetml/2006/main" count="50" uniqueCount="12">
  <si>
    <t>Annual Activity Report 2023-24</t>
  </si>
  <si>
    <t>Sno</t>
  </si>
  <si>
    <t>Particulars</t>
  </si>
  <si>
    <t>Cost (Rs)</t>
  </si>
  <si>
    <t>Fund Source</t>
  </si>
  <si>
    <t>Coir Board, Min MSME , GOI</t>
  </si>
  <si>
    <t>NABARD</t>
  </si>
  <si>
    <t>MANAGE,Hyderabad</t>
  </si>
  <si>
    <t>NABARD MABIF</t>
  </si>
  <si>
    <t>NABCONS</t>
  </si>
  <si>
    <t>NABFOUNDATION</t>
  </si>
  <si>
    <t>Imaigal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</si>
</sst>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6" x14ac:knownFonts="1">
    <font>
      <sz val="10"/>
      <name val="Arial"/>
    </font>
    <font>
      <sz val="12"/>
      <name val="Times New Roman"/>
      <family val="1"/>
    </font>
    <font>
      <sz val="14"/>
      <color rgb="FFFF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5" fillId="0" borderId="0" xfId="0" applyFont="1"/>
    <xf numFmtId="43" fontId="1" fillId="0" borderId="1" xfId="0" applyNumberFormat="1" applyFont="1" applyBorder="1" applyAlignment="1">
      <alignment wrapText="1"/>
    </xf>
    <xf numFmtId="0" fontId="0" fillId="0" borderId="0" xfId="0" applyFill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3" fontId="1" fillId="0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3" fontId="2" fillId="0" borderId="0" xfId="0" applyNumberFormat="1" applyFont="1" applyFill="1" applyAlignment="1">
      <alignment wrapText="1"/>
    </xf>
    <xf numFmtId="0" fontId="0" fillId="0" borderId="0" xfId="0" applyFill="1" applyAlignment="1">
      <alignment wrapText="1"/>
    </xf>
    <xf numFmtId="43" fontId="0" fillId="0" borderId="0" xfId="0" applyNumberFormat="1" applyFill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</cellXfs>
  <cellStyles count="4">
    <cellStyle name="Comma 2" xfId="1"/>
    <cellStyle name="Normal" xfId="0" builtinId="0"/>
    <cellStyle name="Normal 2" xfId="2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elcome\Downloads\Imaigal%20Trust%20-%202023-24%20%20final%20%2030-09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&amp;P"/>
      <sheetName val="I&amp;E"/>
      <sheetName val="B Sheet"/>
      <sheetName val="Fixed Assets"/>
      <sheetName val="DONATIONS FINAL "/>
      <sheetName val="programmes"/>
      <sheetName val="BANK ACCOUNTS "/>
      <sheetName val="Sheet1"/>
    </sheetNames>
    <sheetDataSet>
      <sheetData sheetId="0">
        <row r="11">
          <cell r="F11" t="str">
            <v>Sfurti- Implementing Agency for Cluster &amp;   Swatch Bharath Awareness and Activities</v>
          </cell>
          <cell r="G11">
            <v>52785</v>
          </cell>
        </row>
        <row r="12">
          <cell r="F12" t="str">
            <v>Soft Intervention Activities covered:</v>
          </cell>
          <cell r="G12">
            <v>69406</v>
          </cell>
        </row>
        <row r="13">
          <cell r="F13" t="str">
            <v>Watershed Development Fund Programme - CBP Phase- Mulanur, Tirupur</v>
          </cell>
          <cell r="G13">
            <v>1266096</v>
          </cell>
        </row>
        <row r="14">
          <cell r="F14" t="str">
            <v>Watershed Development Fund Programme - FSR Phase-GeoSpatial Technology Based DPR - Mulanur, Tirupur</v>
          </cell>
          <cell r="G14">
            <v>65650</v>
          </cell>
        </row>
        <row r="15">
          <cell r="F15" t="str">
            <v>NTI of Agri Clinic &amp; Agri Business Training Centre Scheme of MANAGE ,MoAgriculture, GOI</v>
          </cell>
          <cell r="G15">
            <v>3772345</v>
          </cell>
        </row>
        <row r="16">
          <cell r="F16" t="str">
            <v>Agri Preneurs Handholoding Supports</v>
          </cell>
          <cell r="G16">
            <v>437500</v>
          </cell>
        </row>
        <row r="17">
          <cell r="F17" t="str">
            <v>Awareness Programme for Physically Challenged Peoples</v>
          </cell>
          <cell r="G17">
            <v>10000</v>
          </cell>
        </row>
        <row r="18">
          <cell r="F18" t="str">
            <v>Farmer Producer Organisation - Training and development Activities</v>
          </cell>
          <cell r="G18">
            <v>30000</v>
          </cell>
        </row>
        <row r="19">
          <cell r="F19" t="str">
            <v>Training on Agro Ecological  Farming</v>
          </cell>
          <cell r="G19">
            <v>30000</v>
          </cell>
        </row>
        <row r="20">
          <cell r="F20" t="str">
            <v>Environment Health &amp; Safety Awareness Programme</v>
          </cell>
          <cell r="G20">
            <v>20000</v>
          </cell>
        </row>
        <row r="21">
          <cell r="F21" t="str">
            <v>Capacity building for mariketing on E commerce , Social Media Platforms and ONDC - Erode&amp; Tirupur</v>
          </cell>
          <cell r="G21">
            <v>317000</v>
          </cell>
        </row>
        <row r="22">
          <cell r="F22" t="str">
            <v>EDP in Agri &amp; Allied Business Opportunities for Rural Youths</v>
          </cell>
          <cell r="G22">
            <v>12000</v>
          </cell>
        </row>
        <row r="23">
          <cell r="F23" t="str">
            <v>Watershed Development Fund Programme - FIP Phase- Vellakoil, Tirupur</v>
          </cell>
          <cell r="G23">
            <v>2065689</v>
          </cell>
        </row>
        <row r="24">
          <cell r="F24" t="str">
            <v>Millet, Moringa Processing Unit Handholding support to FPO Karur</v>
          </cell>
          <cell r="G24">
            <v>30000</v>
          </cell>
        </row>
        <row r="25">
          <cell r="F25" t="str">
            <v>Watershed Development Fund Programme -CBP - Kodaiyur I, Karur</v>
          </cell>
          <cell r="G25">
            <v>1282786</v>
          </cell>
        </row>
        <row r="26">
          <cell r="F26" t="str">
            <v>Watershed Development Fund Programme -CBP - Kodaiyur II, Karur</v>
          </cell>
          <cell r="G26">
            <v>1176230</v>
          </cell>
        </row>
        <row r="27">
          <cell r="F27" t="str">
            <v>FPO Formation and Supporting activities as POPI Aravakurichi, Karur</v>
          </cell>
          <cell r="G27">
            <v>146000</v>
          </cell>
        </row>
        <row r="28">
          <cell r="F28" t="str">
            <v>FPO Formation and Supporting activities as POPI Vellakoil, Tirupur</v>
          </cell>
          <cell r="G28">
            <v>284000</v>
          </cell>
        </row>
        <row r="29">
          <cell r="F29" t="str">
            <v>Awareness programme in Credit Linkage Supports to farmers  and Youths</v>
          </cell>
          <cell r="G29">
            <v>66000</v>
          </cell>
        </row>
        <row r="30">
          <cell r="F30" t="str">
            <v>Awareness for Women SHG /JLG Formation and business start ups</v>
          </cell>
          <cell r="G30">
            <v>26000</v>
          </cell>
        </row>
        <row r="31">
          <cell r="F31" t="str">
            <v>Afforestation and Global Farming Programe</v>
          </cell>
          <cell r="G31">
            <v>80000</v>
          </cell>
        </row>
        <row r="38">
          <cell r="F38" t="str">
            <v>Livelihood and Enterprise Development Programme (LEDP) - Coconut Shell Value Added Products, Tirupur</v>
          </cell>
          <cell r="G38">
            <v>10000</v>
          </cell>
        </row>
        <row r="39">
          <cell r="F39" t="str">
            <v>Livelihood and Enterprise Development Programme (LEDP) - Coconut and Erode Turmeric Value Added Products, Erode</v>
          </cell>
          <cell r="G39">
            <v>95500</v>
          </cell>
        </row>
        <row r="40">
          <cell r="F40" t="str">
            <v>Livelihood and Enterprise Development Programme (LEDP) - Home Based Cloth Value Added products- Karur</v>
          </cell>
          <cell r="G40">
            <v>95500</v>
          </cell>
        </row>
        <row r="41">
          <cell r="F41" t="str">
            <v>Palmyra collection, Plantation</v>
          </cell>
          <cell r="G41">
            <v>39500</v>
          </cell>
        </row>
        <row r="42">
          <cell r="F42" t="str">
            <v>FPO Formation and Development- RSA ,Karur and Tirupur</v>
          </cell>
          <cell r="G42">
            <v>600000</v>
          </cell>
        </row>
        <row r="43">
          <cell r="F43" t="str">
            <v>Millet Processing Unit Handholding support to FPO's , Erode</v>
          </cell>
          <cell r="G43">
            <v>70000</v>
          </cell>
        </row>
        <row r="44">
          <cell r="F44" t="str">
            <v>Awareness programme of ACABC Scheme</v>
          </cell>
          <cell r="G44">
            <v>45000</v>
          </cell>
        </row>
        <row r="45">
          <cell r="F45" t="str">
            <v>FPO Development Activities - Resource Agency- Erode and Tirupur</v>
          </cell>
          <cell r="G45">
            <v>409260</v>
          </cell>
        </row>
        <row r="46">
          <cell r="F46" t="str">
            <v>Livelihood and Enterprise Development Programme (LEDP) - Millet,Moringa and Herbal Value Added Products Tirupur</v>
          </cell>
          <cell r="G46">
            <v>559500</v>
          </cell>
        </row>
        <row r="47">
          <cell r="F47" t="str">
            <v>Empowerment of Transgender community through Entrepreneurial Support( ETraCES)- Tirupur</v>
          </cell>
          <cell r="G47">
            <v>12500</v>
          </cell>
        </row>
        <row r="48">
          <cell r="F48" t="str">
            <v>Transgender Development- Marketing Supports</v>
          </cell>
          <cell r="G48">
            <v>10000</v>
          </cell>
        </row>
        <row r="49">
          <cell r="F49" t="str">
            <v xml:space="preserve">Women Capacity Building- Awareness in Ecofriendly  products and its marketing for women’s </v>
          </cell>
          <cell r="G49">
            <v>35000</v>
          </cell>
        </row>
        <row r="50">
          <cell r="F50" t="str">
            <v>Livelihood and Enterprise Development Programme (LEDP) - Coconut,Moringa and Honey Value Added Products Tirupur</v>
          </cell>
          <cell r="G50">
            <v>559500</v>
          </cell>
        </row>
        <row r="51">
          <cell r="F51" t="str">
            <v>Micro Enterprise Development programme(MEDP) on Various wood crafts  -Salem</v>
          </cell>
          <cell r="G51">
            <v>10000</v>
          </cell>
        </row>
        <row r="52">
          <cell r="F52" t="str">
            <v xml:space="preserve">Livelihood and Enterprise Development Programme (LEDP) - Millet,Milk and Maize Value Added Products karur </v>
          </cell>
          <cell r="G52">
            <v>838000</v>
          </cell>
        </row>
        <row r="61">
          <cell r="F61" t="str">
            <v>Capcity building programme for NGO Field Workers</v>
          </cell>
          <cell r="G61">
            <v>22000</v>
          </cell>
        </row>
        <row r="62">
          <cell r="F62" t="str">
            <v>Climate changes adoptaion - awareness</v>
          </cell>
          <cell r="G62">
            <v>35000</v>
          </cell>
        </row>
        <row r="63">
          <cell r="F63" t="str">
            <v>Wealth from Biodegradable Waste - Development activities</v>
          </cell>
          <cell r="G63">
            <v>29205</v>
          </cell>
        </row>
        <row r="64">
          <cell r="F64" t="str">
            <v>Agripreneurs Product Development Support</v>
          </cell>
          <cell r="G64">
            <v>30000</v>
          </cell>
        </row>
        <row r="65">
          <cell r="F65" t="str">
            <v>Eye Camp and Medical Camp</v>
          </cell>
          <cell r="G65">
            <v>30000</v>
          </cell>
        </row>
        <row r="66">
          <cell r="F66" t="str">
            <v>Smart Applications in Agriculture Awareness</v>
          </cell>
          <cell r="G66">
            <v>32000</v>
          </cell>
        </row>
        <row r="67">
          <cell r="F67" t="str">
            <v>Farmers Extensions with Marketing supports</v>
          </cell>
          <cell r="G67">
            <v>150000</v>
          </cell>
        </row>
        <row r="68">
          <cell r="F68" t="str">
            <v xml:space="preserve">Saplings Plantations </v>
          </cell>
          <cell r="G68">
            <v>208785</v>
          </cell>
        </row>
        <row r="69">
          <cell r="F69" t="str">
            <v>Agriculture Extension Services Centre</v>
          </cell>
          <cell r="G69">
            <v>410500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5"/>
  <sheetViews>
    <sheetView tabSelected="1" view="pageBreakPreview" zoomScale="60" zoomScaleNormal="100" workbookViewId="0">
      <selection activeCell="J21" sqref="J21"/>
    </sheetView>
  </sheetViews>
  <sheetFormatPr defaultColWidth="9.140625" defaultRowHeight="12.75" x14ac:dyDescent="0.2"/>
  <cols>
    <col min="1" max="1" width="9.140625" style="7"/>
    <col min="2" max="2" width="66" style="10" customWidth="1"/>
    <col min="3" max="3" width="21.140625" customWidth="1"/>
    <col min="4" max="4" width="19.5703125" style="3" customWidth="1"/>
  </cols>
  <sheetData>
    <row r="3" spans="1:4" ht="15.75" x14ac:dyDescent="0.25">
      <c r="B3" s="15" t="s">
        <v>0</v>
      </c>
      <c r="C3" s="1"/>
    </row>
    <row r="5" spans="1:4" s="4" customFormat="1" ht="15" x14ac:dyDescent="0.2">
      <c r="A5" s="5" t="s">
        <v>1</v>
      </c>
      <c r="B5" s="16" t="s">
        <v>2</v>
      </c>
      <c r="C5" s="5" t="s">
        <v>4</v>
      </c>
      <c r="D5" s="6" t="s">
        <v>3</v>
      </c>
    </row>
    <row r="6" spans="1:4" s="10" customFormat="1" ht="35.1" customHeight="1" x14ac:dyDescent="0.25">
      <c r="A6" s="8">
        <v>1</v>
      </c>
      <c r="B6" s="2" t="str">
        <f>'[1]R&amp;P'!F11</f>
        <v>Sfurti- Implementing Agency for Cluster &amp;   Swatch Bharath Awareness and Activities</v>
      </c>
      <c r="C6" s="2" t="s">
        <v>5</v>
      </c>
      <c r="D6" s="9">
        <f>'[1]R&amp;P'!G11</f>
        <v>52785</v>
      </c>
    </row>
    <row r="7" spans="1:4" s="10" customFormat="1" ht="35.1" customHeight="1" x14ac:dyDescent="0.25">
      <c r="A7" s="8">
        <v>2</v>
      </c>
      <c r="B7" s="2" t="str">
        <f>'[1]R&amp;P'!F12</f>
        <v>Soft Intervention Activities covered:</v>
      </c>
      <c r="C7" s="2" t="s">
        <v>5</v>
      </c>
      <c r="D7" s="9">
        <f>'[1]R&amp;P'!G12</f>
        <v>69406</v>
      </c>
    </row>
    <row r="8" spans="1:4" s="10" customFormat="1" ht="35.1" customHeight="1" x14ac:dyDescent="0.25">
      <c r="A8" s="8">
        <v>3</v>
      </c>
      <c r="B8" s="2" t="str">
        <f>'[1]R&amp;P'!F13</f>
        <v>Watershed Development Fund Programme - CBP Phase- Mulanur, Tirupur</v>
      </c>
      <c r="C8" s="2" t="s">
        <v>6</v>
      </c>
      <c r="D8" s="9">
        <f>'[1]R&amp;P'!G13</f>
        <v>1266096</v>
      </c>
    </row>
    <row r="9" spans="1:4" s="10" customFormat="1" ht="35.1" customHeight="1" x14ac:dyDescent="0.25">
      <c r="A9" s="8">
        <v>4</v>
      </c>
      <c r="B9" s="2" t="str">
        <f>'[1]R&amp;P'!F14</f>
        <v>Watershed Development Fund Programme - FSR Phase-GeoSpatial Technology Based DPR - Mulanur, Tirupur</v>
      </c>
      <c r="C9" s="2" t="s">
        <v>6</v>
      </c>
      <c r="D9" s="9">
        <f>'[1]R&amp;P'!G14</f>
        <v>65650</v>
      </c>
    </row>
    <row r="10" spans="1:4" s="10" customFormat="1" ht="35.1" customHeight="1" x14ac:dyDescent="0.25">
      <c r="A10" s="8">
        <v>5</v>
      </c>
      <c r="B10" s="2" t="str">
        <f>'[1]R&amp;P'!F15</f>
        <v>NTI of Agri Clinic &amp; Agri Business Training Centre Scheme of MANAGE ,MoAgriculture, GOI</v>
      </c>
      <c r="C10" s="2" t="s">
        <v>7</v>
      </c>
      <c r="D10" s="9">
        <f>'[1]R&amp;P'!G15</f>
        <v>3772345</v>
      </c>
    </row>
    <row r="11" spans="1:4" s="10" customFormat="1" ht="35.1" customHeight="1" x14ac:dyDescent="0.25">
      <c r="A11" s="8">
        <v>6</v>
      </c>
      <c r="B11" s="2" t="str">
        <f>'[1]R&amp;P'!F16</f>
        <v>Agri Preneurs Handholoding Supports</v>
      </c>
      <c r="C11" s="2" t="s">
        <v>11</v>
      </c>
      <c r="D11" s="9">
        <f>'[1]R&amp;P'!G16</f>
        <v>437500</v>
      </c>
    </row>
    <row r="12" spans="1:4" s="10" customFormat="1" ht="35.1" customHeight="1" x14ac:dyDescent="0.25">
      <c r="A12" s="8">
        <v>7</v>
      </c>
      <c r="B12" s="2" t="str">
        <f>'[1]R&amp;P'!F17</f>
        <v>Awareness Programme for Physically Challenged Peoples</v>
      </c>
      <c r="C12" s="2" t="s">
        <v>11</v>
      </c>
      <c r="D12" s="9">
        <f>'[1]R&amp;P'!G17</f>
        <v>10000</v>
      </c>
    </row>
    <row r="13" spans="1:4" s="10" customFormat="1" ht="35.1" customHeight="1" x14ac:dyDescent="0.25">
      <c r="A13" s="8">
        <v>8</v>
      </c>
      <c r="B13" s="2" t="str">
        <f>'[1]R&amp;P'!F18</f>
        <v>Farmer Producer Organisation - Training and development Activities</v>
      </c>
      <c r="C13" s="2" t="s">
        <v>11</v>
      </c>
      <c r="D13" s="9">
        <f>'[1]R&amp;P'!G18</f>
        <v>30000</v>
      </c>
    </row>
    <row r="14" spans="1:4" s="10" customFormat="1" ht="35.1" customHeight="1" x14ac:dyDescent="0.25">
      <c r="A14" s="8">
        <v>9</v>
      </c>
      <c r="B14" s="2" t="str">
        <f>'[1]R&amp;P'!F19</f>
        <v>Training on Agro Ecological  Farming</v>
      </c>
      <c r="C14" s="2" t="s">
        <v>11</v>
      </c>
      <c r="D14" s="9">
        <f>'[1]R&amp;P'!G19</f>
        <v>30000</v>
      </c>
    </row>
    <row r="15" spans="1:4" s="10" customFormat="1" ht="35.1" customHeight="1" x14ac:dyDescent="0.25">
      <c r="A15" s="8">
        <v>10</v>
      </c>
      <c r="B15" s="2" t="str">
        <f>'[1]R&amp;P'!F20</f>
        <v>Environment Health &amp; Safety Awareness Programme</v>
      </c>
      <c r="C15" s="2" t="s">
        <v>11</v>
      </c>
      <c r="D15" s="9">
        <f>'[1]R&amp;P'!G20</f>
        <v>20000</v>
      </c>
    </row>
    <row r="16" spans="1:4" s="10" customFormat="1" ht="35.1" customHeight="1" x14ac:dyDescent="0.25">
      <c r="A16" s="8">
        <v>11</v>
      </c>
      <c r="B16" s="2" t="str">
        <f>'[1]R&amp;P'!F21</f>
        <v>Capacity building for mariketing on E commerce , Social Media Platforms and ONDC - Erode&amp; Tirupur</v>
      </c>
      <c r="C16" s="2" t="s">
        <v>6</v>
      </c>
      <c r="D16" s="9">
        <f>'[1]R&amp;P'!G21</f>
        <v>317000</v>
      </c>
    </row>
    <row r="17" spans="1:4" s="10" customFormat="1" ht="35.1" customHeight="1" x14ac:dyDescent="0.25">
      <c r="A17" s="8">
        <v>12</v>
      </c>
      <c r="B17" s="2" t="str">
        <f>'[1]R&amp;P'!F22</f>
        <v>EDP in Agri &amp; Allied Business Opportunities for Rural Youths</v>
      </c>
      <c r="C17" s="2" t="s">
        <v>11</v>
      </c>
      <c r="D17" s="9">
        <f>'[1]R&amp;P'!G22</f>
        <v>12000</v>
      </c>
    </row>
    <row r="18" spans="1:4" s="10" customFormat="1" ht="35.1" customHeight="1" x14ac:dyDescent="0.25">
      <c r="A18" s="8">
        <v>13</v>
      </c>
      <c r="B18" s="2" t="str">
        <f>'[1]R&amp;P'!F23</f>
        <v>Watershed Development Fund Programme - FIP Phase- Vellakoil, Tirupur</v>
      </c>
      <c r="C18" s="2" t="s">
        <v>6</v>
      </c>
      <c r="D18" s="9">
        <f>'[1]R&amp;P'!G23</f>
        <v>2065689</v>
      </c>
    </row>
    <row r="19" spans="1:4" s="10" customFormat="1" ht="35.1" customHeight="1" x14ac:dyDescent="0.25">
      <c r="A19" s="8">
        <v>14</v>
      </c>
      <c r="B19" s="2" t="str">
        <f>'[1]R&amp;P'!F24</f>
        <v>Millet, Moringa Processing Unit Handholding support to FPO Karur</v>
      </c>
      <c r="C19" s="2" t="s">
        <v>11</v>
      </c>
      <c r="D19" s="9">
        <f>'[1]R&amp;P'!G24</f>
        <v>30000</v>
      </c>
    </row>
    <row r="20" spans="1:4" s="10" customFormat="1" ht="35.1" customHeight="1" x14ac:dyDescent="0.25">
      <c r="A20" s="8">
        <v>15</v>
      </c>
      <c r="B20" s="2" t="str">
        <f>'[1]R&amp;P'!F25</f>
        <v>Watershed Development Fund Programme -CBP - Kodaiyur I, Karur</v>
      </c>
      <c r="C20" s="2" t="s">
        <v>6</v>
      </c>
      <c r="D20" s="9">
        <f>'[1]R&amp;P'!G25</f>
        <v>1282786</v>
      </c>
    </row>
    <row r="21" spans="1:4" s="10" customFormat="1" ht="35.1" customHeight="1" x14ac:dyDescent="0.25">
      <c r="A21" s="8">
        <v>16</v>
      </c>
      <c r="B21" s="2" t="str">
        <f>'[1]R&amp;P'!F26</f>
        <v>Watershed Development Fund Programme -CBP - Kodaiyur II, Karur</v>
      </c>
      <c r="C21" s="2" t="s">
        <v>6</v>
      </c>
      <c r="D21" s="9">
        <f>'[1]R&amp;P'!G26</f>
        <v>1176230</v>
      </c>
    </row>
    <row r="22" spans="1:4" s="10" customFormat="1" ht="35.1" customHeight="1" x14ac:dyDescent="0.25">
      <c r="A22" s="8">
        <v>17</v>
      </c>
      <c r="B22" s="2" t="str">
        <f>'[1]R&amp;P'!F27</f>
        <v>FPO Formation and Supporting activities as POPI Aravakurichi, Karur</v>
      </c>
      <c r="C22" s="2" t="s">
        <v>6</v>
      </c>
      <c r="D22" s="9">
        <f>'[1]R&amp;P'!G27</f>
        <v>146000</v>
      </c>
    </row>
    <row r="23" spans="1:4" s="10" customFormat="1" ht="35.1" customHeight="1" x14ac:dyDescent="0.25">
      <c r="A23" s="8">
        <v>18</v>
      </c>
      <c r="B23" s="2" t="str">
        <f>'[1]R&amp;P'!F28</f>
        <v>FPO Formation and Supporting activities as POPI Vellakoil, Tirupur</v>
      </c>
      <c r="C23" s="2" t="s">
        <v>6</v>
      </c>
      <c r="D23" s="9">
        <f>'[1]R&amp;P'!G28</f>
        <v>284000</v>
      </c>
    </row>
    <row r="24" spans="1:4" s="10" customFormat="1" ht="35.1" customHeight="1" x14ac:dyDescent="0.25">
      <c r="A24" s="8">
        <v>19</v>
      </c>
      <c r="B24" s="2" t="str">
        <f>'[1]R&amp;P'!F29</f>
        <v>Awareness programme in Credit Linkage Supports to farmers  and Youths</v>
      </c>
      <c r="C24" s="2" t="s">
        <v>11</v>
      </c>
      <c r="D24" s="9">
        <f>'[1]R&amp;P'!G29</f>
        <v>66000</v>
      </c>
    </row>
    <row r="25" spans="1:4" s="10" customFormat="1" ht="35.1" customHeight="1" x14ac:dyDescent="0.25">
      <c r="A25" s="8">
        <v>20</v>
      </c>
      <c r="B25" s="2" t="str">
        <f>'[1]R&amp;P'!F30</f>
        <v>Awareness for Women SHG /JLG Formation and business start ups</v>
      </c>
      <c r="C25" s="2" t="s">
        <v>11</v>
      </c>
      <c r="D25" s="9">
        <f>'[1]R&amp;P'!G30</f>
        <v>26000</v>
      </c>
    </row>
    <row r="26" spans="1:4" s="10" customFormat="1" ht="35.1" customHeight="1" x14ac:dyDescent="0.25">
      <c r="A26" s="8">
        <v>21</v>
      </c>
      <c r="B26" s="2" t="str">
        <f>'[1]R&amp;P'!F31</f>
        <v>Afforestation and Global Farming Programe</v>
      </c>
      <c r="C26" s="2" t="s">
        <v>11</v>
      </c>
      <c r="D26" s="9">
        <f>'[1]R&amp;P'!G31</f>
        <v>80000</v>
      </c>
    </row>
    <row r="27" spans="1:4" s="10" customFormat="1" ht="35.1" customHeight="1" x14ac:dyDescent="0.25">
      <c r="A27" s="8">
        <v>22</v>
      </c>
      <c r="B27" s="2" t="str">
        <f>'[1]R&amp;P'!F38</f>
        <v>Livelihood and Enterprise Development Programme (LEDP) - Coconut Shell Value Added Products, Tirupur</v>
      </c>
      <c r="C27" s="2" t="s">
        <v>6</v>
      </c>
      <c r="D27" s="9">
        <f>'[1]R&amp;P'!G38</f>
        <v>10000</v>
      </c>
    </row>
    <row r="28" spans="1:4" s="10" customFormat="1" ht="35.1" customHeight="1" x14ac:dyDescent="0.25">
      <c r="A28" s="8">
        <v>23</v>
      </c>
      <c r="B28" s="2" t="str">
        <f>'[1]R&amp;P'!F39</f>
        <v>Livelihood and Enterprise Development Programme (LEDP) - Coconut and Erode Turmeric Value Added Products, Erode</v>
      </c>
      <c r="C28" s="2" t="s">
        <v>6</v>
      </c>
      <c r="D28" s="9">
        <f>'[1]R&amp;P'!G39</f>
        <v>95500</v>
      </c>
    </row>
    <row r="29" spans="1:4" s="10" customFormat="1" ht="35.1" customHeight="1" x14ac:dyDescent="0.25">
      <c r="A29" s="8">
        <v>24</v>
      </c>
      <c r="B29" s="2" t="str">
        <f>'[1]R&amp;P'!F40</f>
        <v>Livelihood and Enterprise Development Programme (LEDP) - Home Based Cloth Value Added products- Karur</v>
      </c>
      <c r="C29" s="2" t="s">
        <v>6</v>
      </c>
      <c r="D29" s="9">
        <f>'[1]R&amp;P'!G40</f>
        <v>95500</v>
      </c>
    </row>
    <row r="30" spans="1:4" s="10" customFormat="1" ht="35.1" customHeight="1" x14ac:dyDescent="0.25">
      <c r="A30" s="8">
        <v>25</v>
      </c>
      <c r="B30" s="2" t="str">
        <f>'[1]R&amp;P'!F41</f>
        <v>Palmyra collection, Plantation</v>
      </c>
      <c r="C30" s="2" t="s">
        <v>11</v>
      </c>
      <c r="D30" s="9">
        <f>'[1]R&amp;P'!G41</f>
        <v>39500</v>
      </c>
    </row>
    <row r="31" spans="1:4" s="10" customFormat="1" ht="35.1" customHeight="1" x14ac:dyDescent="0.25">
      <c r="A31" s="8">
        <v>26</v>
      </c>
      <c r="B31" s="2" t="str">
        <f>'[1]R&amp;P'!F42</f>
        <v>FPO Formation and Development- RSA ,Karur and Tirupur</v>
      </c>
      <c r="C31" s="2" t="s">
        <v>8</v>
      </c>
      <c r="D31" s="9">
        <f>'[1]R&amp;P'!G42</f>
        <v>600000</v>
      </c>
    </row>
    <row r="32" spans="1:4" s="10" customFormat="1" ht="35.1" customHeight="1" x14ac:dyDescent="0.25">
      <c r="A32" s="8">
        <v>27</v>
      </c>
      <c r="B32" s="2" t="str">
        <f>'[1]R&amp;P'!F43</f>
        <v>Millet Processing Unit Handholding support to FPO's , Erode</v>
      </c>
      <c r="C32" s="2" t="s">
        <v>11</v>
      </c>
      <c r="D32" s="9">
        <f>'[1]R&amp;P'!G43</f>
        <v>70000</v>
      </c>
    </row>
    <row r="33" spans="1:4" s="10" customFormat="1" ht="35.1" customHeight="1" x14ac:dyDescent="0.25">
      <c r="A33" s="8">
        <v>28</v>
      </c>
      <c r="B33" s="2" t="str">
        <f>'[1]R&amp;P'!F44</f>
        <v>Awareness programme of ACABC Scheme</v>
      </c>
      <c r="C33" s="2" t="s">
        <v>11</v>
      </c>
      <c r="D33" s="9">
        <f>'[1]R&amp;P'!G44</f>
        <v>45000</v>
      </c>
    </row>
    <row r="34" spans="1:4" s="10" customFormat="1" ht="35.1" customHeight="1" x14ac:dyDescent="0.25">
      <c r="A34" s="8">
        <v>29</v>
      </c>
      <c r="B34" s="2" t="str">
        <f>'[1]R&amp;P'!F45</f>
        <v>FPO Development Activities - Resource Agency- Erode and Tirupur</v>
      </c>
      <c r="C34" s="2" t="s">
        <v>9</v>
      </c>
      <c r="D34" s="9">
        <f>'[1]R&amp;P'!G45</f>
        <v>409260</v>
      </c>
    </row>
    <row r="35" spans="1:4" s="10" customFormat="1" ht="35.1" customHeight="1" x14ac:dyDescent="0.25">
      <c r="A35" s="8">
        <v>30</v>
      </c>
      <c r="B35" s="2" t="str">
        <f>'[1]R&amp;P'!F46</f>
        <v>Livelihood and Enterprise Development Programme (LEDP) - Millet,Moringa and Herbal Value Added Products Tirupur</v>
      </c>
      <c r="C35" s="2" t="s">
        <v>6</v>
      </c>
      <c r="D35" s="9">
        <f>'[1]R&amp;P'!G46</f>
        <v>559500</v>
      </c>
    </row>
    <row r="36" spans="1:4" s="10" customFormat="1" ht="35.1" customHeight="1" x14ac:dyDescent="0.25">
      <c r="A36" s="8">
        <v>31</v>
      </c>
      <c r="B36" s="2" t="str">
        <f>'[1]R&amp;P'!F47</f>
        <v>Empowerment of Transgender community through Entrepreneurial Support( ETraCES)- Tirupur</v>
      </c>
      <c r="C36" s="2" t="s">
        <v>10</v>
      </c>
      <c r="D36" s="9">
        <f>'[1]R&amp;P'!G47</f>
        <v>12500</v>
      </c>
    </row>
    <row r="37" spans="1:4" s="10" customFormat="1" ht="35.1" customHeight="1" x14ac:dyDescent="0.25">
      <c r="A37" s="8">
        <v>32</v>
      </c>
      <c r="B37" s="2" t="str">
        <f>'[1]R&amp;P'!F48</f>
        <v>Transgender Development- Marketing Supports</v>
      </c>
      <c r="C37" s="2" t="s">
        <v>11</v>
      </c>
      <c r="D37" s="9">
        <f>'[1]R&amp;P'!G48</f>
        <v>10000</v>
      </c>
    </row>
    <row r="38" spans="1:4" s="10" customFormat="1" ht="35.1" customHeight="1" x14ac:dyDescent="0.25">
      <c r="A38" s="8">
        <v>33</v>
      </c>
      <c r="B38" s="2" t="str">
        <f>'[1]R&amp;P'!F49</f>
        <v xml:space="preserve">Women Capacity Building- Awareness in Ecofriendly  products and its marketing for women’s </v>
      </c>
      <c r="C38" s="2" t="s">
        <v>11</v>
      </c>
      <c r="D38" s="9">
        <f>'[1]R&amp;P'!G49</f>
        <v>35000</v>
      </c>
    </row>
    <row r="39" spans="1:4" s="10" customFormat="1" ht="35.1" customHeight="1" x14ac:dyDescent="0.25">
      <c r="A39" s="8">
        <v>34</v>
      </c>
      <c r="B39" s="2" t="str">
        <f>'[1]R&amp;P'!F50</f>
        <v>Livelihood and Enterprise Development Programme (LEDP) - Coconut,Moringa and Honey Value Added Products Tirupur</v>
      </c>
      <c r="C39" s="2" t="s">
        <v>6</v>
      </c>
      <c r="D39" s="9">
        <f>'[1]R&amp;P'!G50</f>
        <v>559500</v>
      </c>
    </row>
    <row r="40" spans="1:4" s="10" customFormat="1" ht="35.1" customHeight="1" x14ac:dyDescent="0.25">
      <c r="A40" s="8">
        <v>35</v>
      </c>
      <c r="B40" s="2" t="str">
        <f>'[1]R&amp;P'!F51</f>
        <v>Micro Enterprise Development programme(MEDP) on Various wood crafts  -Salem</v>
      </c>
      <c r="C40" s="2" t="s">
        <v>6</v>
      </c>
      <c r="D40" s="9">
        <f>'[1]R&amp;P'!G51</f>
        <v>10000</v>
      </c>
    </row>
    <row r="41" spans="1:4" s="10" customFormat="1" ht="35.1" customHeight="1" x14ac:dyDescent="0.25">
      <c r="A41" s="8">
        <v>36</v>
      </c>
      <c r="B41" s="2" t="str">
        <f>'[1]R&amp;P'!F52</f>
        <v xml:space="preserve">Livelihood and Enterprise Development Programme (LEDP) - Millet,Milk and Maize Value Added Products karur </v>
      </c>
      <c r="C41" s="2" t="s">
        <v>6</v>
      </c>
      <c r="D41" s="9">
        <f>'[1]R&amp;P'!G52</f>
        <v>838000</v>
      </c>
    </row>
    <row r="42" spans="1:4" s="10" customFormat="1" ht="35.1" customHeight="1" x14ac:dyDescent="0.25">
      <c r="A42" s="8">
        <v>37</v>
      </c>
      <c r="B42" s="2" t="str">
        <f>'[1]R&amp;P'!F61</f>
        <v>Capcity building programme for NGO Field Workers</v>
      </c>
      <c r="C42" s="2" t="s">
        <v>11</v>
      </c>
      <c r="D42" s="9">
        <f>'[1]R&amp;P'!G61</f>
        <v>22000</v>
      </c>
    </row>
    <row r="43" spans="1:4" s="10" customFormat="1" ht="35.1" customHeight="1" x14ac:dyDescent="0.25">
      <c r="A43" s="8">
        <v>38</v>
      </c>
      <c r="B43" s="2" t="str">
        <f>'[1]R&amp;P'!F62</f>
        <v>Climate changes adoptaion - awareness</v>
      </c>
      <c r="C43" s="2" t="s">
        <v>11</v>
      </c>
      <c r="D43" s="9">
        <f>'[1]R&amp;P'!G62</f>
        <v>35000</v>
      </c>
    </row>
    <row r="44" spans="1:4" s="10" customFormat="1" ht="35.1" customHeight="1" x14ac:dyDescent="0.25">
      <c r="A44" s="8">
        <v>39</v>
      </c>
      <c r="B44" s="2" t="str">
        <f>'[1]R&amp;P'!F63</f>
        <v>Wealth from Biodegradable Waste - Development activities</v>
      </c>
      <c r="C44" s="2" t="s">
        <v>11</v>
      </c>
      <c r="D44" s="9">
        <f>'[1]R&amp;P'!G63</f>
        <v>29205</v>
      </c>
    </row>
    <row r="45" spans="1:4" s="10" customFormat="1" ht="35.1" customHeight="1" x14ac:dyDescent="0.25">
      <c r="A45" s="8">
        <v>40</v>
      </c>
      <c r="B45" s="2" t="str">
        <f>'[1]R&amp;P'!F64</f>
        <v>Agripreneurs Product Development Support</v>
      </c>
      <c r="C45" s="2" t="s">
        <v>11</v>
      </c>
      <c r="D45" s="9">
        <f>'[1]R&amp;P'!G64</f>
        <v>30000</v>
      </c>
    </row>
    <row r="46" spans="1:4" s="10" customFormat="1" ht="35.1" customHeight="1" x14ac:dyDescent="0.25">
      <c r="A46" s="8">
        <v>41</v>
      </c>
      <c r="B46" s="2" t="str">
        <f>'[1]R&amp;P'!F65</f>
        <v>Eye Camp and Medical Camp</v>
      </c>
      <c r="C46" s="2" t="s">
        <v>11</v>
      </c>
      <c r="D46" s="9">
        <f>'[1]R&amp;P'!G65</f>
        <v>30000</v>
      </c>
    </row>
    <row r="47" spans="1:4" s="10" customFormat="1" ht="35.1" customHeight="1" x14ac:dyDescent="0.25">
      <c r="A47" s="8">
        <v>42</v>
      </c>
      <c r="B47" s="2" t="str">
        <f>'[1]R&amp;P'!F66</f>
        <v>Smart Applications in Agriculture Awareness</v>
      </c>
      <c r="C47" s="2" t="s">
        <v>11</v>
      </c>
      <c r="D47" s="9">
        <f>'[1]R&amp;P'!G66</f>
        <v>32000</v>
      </c>
    </row>
    <row r="48" spans="1:4" s="10" customFormat="1" ht="35.1" customHeight="1" x14ac:dyDescent="0.25">
      <c r="A48" s="8">
        <v>43</v>
      </c>
      <c r="B48" s="2" t="str">
        <f>'[1]R&amp;P'!F67</f>
        <v>Farmers Extensions with Marketing supports</v>
      </c>
      <c r="C48" s="2" t="s">
        <v>11</v>
      </c>
      <c r="D48" s="9">
        <f>'[1]R&amp;P'!G67</f>
        <v>150000</v>
      </c>
    </row>
    <row r="49" spans="1:4" s="10" customFormat="1" ht="35.1" customHeight="1" x14ac:dyDescent="0.25">
      <c r="A49" s="8">
        <v>44</v>
      </c>
      <c r="B49" s="2" t="str">
        <f>'[1]R&amp;P'!F68</f>
        <v xml:space="preserve">Saplings Plantations </v>
      </c>
      <c r="C49" s="2" t="s">
        <v>11</v>
      </c>
      <c r="D49" s="9">
        <f>'[1]R&amp;P'!G68</f>
        <v>208785</v>
      </c>
    </row>
    <row r="50" spans="1:4" s="10" customFormat="1" ht="35.1" customHeight="1" x14ac:dyDescent="0.25">
      <c r="A50" s="8">
        <v>45</v>
      </c>
      <c r="B50" s="2" t="str">
        <f>'[1]R&amp;P'!F69</f>
        <v>Agriculture Extension Services Centre</v>
      </c>
      <c r="C50" s="2" t="s">
        <v>11</v>
      </c>
      <c r="D50" s="9">
        <f>'[1]R&amp;P'!G69</f>
        <v>410500</v>
      </c>
    </row>
    <row r="51" spans="1:4" s="10" customFormat="1" ht="24.95" customHeight="1" x14ac:dyDescent="0.25">
      <c r="A51" s="11"/>
      <c r="D51" s="12"/>
    </row>
    <row r="52" spans="1:4" s="10" customFormat="1" ht="24.95" customHeight="1" x14ac:dyDescent="0.2">
      <c r="A52" s="11"/>
      <c r="D52" s="13"/>
    </row>
    <row r="53" spans="1:4" s="10" customFormat="1" ht="24.95" customHeight="1" x14ac:dyDescent="0.2">
      <c r="A53" s="11"/>
      <c r="D53" s="14"/>
    </row>
    <row r="54" spans="1:4" s="10" customFormat="1" ht="24.95" customHeight="1" x14ac:dyDescent="0.2">
      <c r="A54" s="11"/>
      <c r="D54" s="13"/>
    </row>
    <row r="55" spans="1:4" s="10" customFormat="1" ht="24.95" customHeight="1" x14ac:dyDescent="0.2">
      <c r="A55" s="11"/>
      <c r="D55" s="13"/>
    </row>
  </sheetData>
  <pageMargins left="0.75" right="0.75" top="1" bottom="1" header="0.5" footer="0.5"/>
  <pageSetup scale="70" orientation="portrait" horizontalDpi="360" verticalDpi="360" r:id="rId1"/>
  <rowBreaks count="1" manualBreakCount="1">
    <brk id="3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programmes</vt:lpstr>
      <vt:lpstr>programmes!Print_Area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2025-06-23T14:54:29Z</cp:lastPrinted>
  <dcterms:created xsi:type="dcterms:W3CDTF">2025-06-23T14:40:22Z</dcterms:created>
  <dcterms:modified xsi:type="dcterms:W3CDTF">2025-06-23T14:54:37Z</dcterms:modified>
</cp:coreProperties>
</file>